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225" codeName="{7A2D7E96-6E34-419A-AE5F-296B3A7E7977}"/>
  <workbookPr codeName="ThisWorkbook" autoCompressPictures="0"/>
  <bookViews>
    <workbookView xWindow="0" yWindow="0" windowWidth="28800" windowHeight="17460"/>
  </bookViews>
  <sheets>
    <sheet name="Calcs" sheetId="1" r:id="rId1"/>
    <sheet name="ByHandCalculator" sheetId="2" state="hidden" r:id="rId2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2" l="1"/>
  <c r="N4" i="2"/>
  <c r="O4" i="2"/>
  <c r="P4" i="2"/>
  <c r="Q4" i="2"/>
  <c r="R4" i="2"/>
  <c r="S4" i="2"/>
  <c r="S3" i="2"/>
  <c r="Q3" i="2"/>
  <c r="N3" i="2"/>
  <c r="R3" i="2"/>
  <c r="P3" i="2"/>
  <c r="O3" i="2"/>
  <c r="M3" i="2"/>
</calcChain>
</file>

<file path=xl/sharedStrings.xml><?xml version="1.0" encoding="utf-8"?>
<sst xmlns="http://schemas.openxmlformats.org/spreadsheetml/2006/main" count="54" uniqueCount="28">
  <si>
    <t>Center, x</t>
  </si>
  <si>
    <t>Center, y</t>
  </si>
  <si>
    <t>Diameter</t>
  </si>
  <si>
    <t>Time 1</t>
  </si>
  <si>
    <t>Point 1, x</t>
  </si>
  <si>
    <t>Point 1, y</t>
  </si>
  <si>
    <t>Point 2, x</t>
  </si>
  <si>
    <t>Point 2, y</t>
  </si>
  <si>
    <t>Spin Axis (degrees, RH)</t>
  </si>
  <si>
    <t>Time 2</t>
  </si>
  <si>
    <t>`</t>
  </si>
  <si>
    <t>FOV 1</t>
  </si>
  <si>
    <t>FOV2</t>
  </si>
  <si>
    <t>Top</t>
  </si>
  <si>
    <t>Bottom</t>
  </si>
  <si>
    <t>Left</t>
  </si>
  <si>
    <t>Right</t>
  </si>
  <si>
    <t>x</t>
  </si>
  <si>
    <t>y</t>
  </si>
  <si>
    <t>Label 1</t>
  </si>
  <si>
    <t>Label 2</t>
  </si>
  <si>
    <t>Center</t>
  </si>
  <si>
    <t>D</t>
  </si>
  <si>
    <t xml:space="preserve">Justin's data points for Left handed </t>
  </si>
  <si>
    <t>Data from Wil</t>
  </si>
  <si>
    <t>Spin (degrees, RH)</t>
  </si>
  <si>
    <t>Spin (degrees, LH)</t>
  </si>
  <si>
    <t>Spin Axis (degrees, LH)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</si>
</sst>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indexed="1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 style="medium">
        <color theme="4" tint="0.39997558519241921"/>
      </bottom>
      <diagonal/>
    </border>
    <border>
      <left/>
      <right style="medium">
        <color theme="4" tint="0.39994506668294322"/>
      </right>
      <top/>
      <bottom/>
      <diagonal/>
    </border>
    <border>
      <left/>
      <right style="thick">
        <color theme="3"/>
      </right>
      <top/>
      <bottom/>
      <diagonal/>
    </border>
    <border>
      <left/>
      <right style="thick">
        <color theme="3"/>
      </right>
      <top/>
      <bottom style="medium">
        <color theme="4" tint="0.39997558519241921"/>
      </bottom>
      <diagonal/>
    </border>
  </borders>
  <cellStyleXfs count="251">
    <xf numFmtId="0" fontId="0" fillId="0" borderId="0"/>
    <xf numFmtId="0" fontId="1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1" xfId="1" applyAlignment="1">
      <alignment horizontal="center"/>
    </xf>
    <xf numFmtId="0" fontId="1" fillId="0" borderId="2" xfId="1" applyBorder="1" applyAlignment="1">
      <alignment horizontal="center"/>
    </xf>
    <xf numFmtId="0" fontId="1" fillId="0" borderId="1" xfId="1" applyFill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0" xfId="20" applyAlignment="1">
      <alignment horizontal="center"/>
    </xf>
    <xf numFmtId="0" fontId="1" fillId="0" borderId="1" xfId="1" applyBorder="1" applyAlignment="1">
      <alignment horizontal="center" vertical="center"/>
    </xf>
    <xf numFmtId="0" fontId="1" fillId="0" borderId="2" xfId="1" applyBorder="1" applyAlignment="1">
      <alignment horizontal="center" vertical="center"/>
    </xf>
    <xf numFmtId="0" fontId="0" fillId="0" borderId="0" xfId="0" applyAlignment="1">
      <alignment horizontal="left"/>
    </xf>
    <xf numFmtId="0" fontId="1" fillId="0" borderId="1" xfId="1" applyAlignment="1">
      <alignment horizontal="center"/>
    </xf>
    <xf numFmtId="0" fontId="1" fillId="0" borderId="5" xfId="1" applyBorder="1" applyAlignment="1">
      <alignment horizontal="center"/>
    </xf>
    <xf numFmtId="0" fontId="1" fillId="0" borderId="4" xfId="20" applyBorder="1" applyAlignment="1">
      <alignment horizontal="center"/>
    </xf>
    <xf numFmtId="0" fontId="1" fillId="0" borderId="1" xfId="1" applyBorder="1" applyAlignment="1">
      <alignment horizontal="center"/>
    </xf>
    <xf numFmtId="0" fontId="1" fillId="0" borderId="0" xfId="20" applyBorder="1" applyAlignment="1">
      <alignment horizontal="center"/>
    </xf>
  </cellXfs>
  <cellStyles count="251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Heading 3" xfId="1" builtinId="18"/>
    <cellStyle name="Heading 4" xfId="20" builtinId="19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T26"/>
  <sheetViews>
    <sheetView tabSelected="1" workbookViewId="0">
      <selection activeCell="F28" sqref="F28"/>
    </sheetView>
  </sheetViews>
  <sheetFormatPr baseColWidth="10" defaultColWidth="8.83203125" defaultRowHeight="14" x14ac:dyDescent="0"/>
  <cols>
    <col min="1" max="2" width="9" style="4" bestFit="1" customWidth="1"/>
    <col min="3" max="3" width="9.33203125" style="4" bestFit="1" customWidth="1"/>
    <col min="4" max="6" width="8.83203125" style="4"/>
    <col min="7" max="7" width="8.83203125" style="5"/>
    <col min="8" max="9" width="9" style="4" bestFit="1" customWidth="1"/>
    <col min="10" max="10" width="9.33203125" style="4" bestFit="1" customWidth="1"/>
    <col min="11" max="13" width="8.83203125" style="4"/>
    <col min="14" max="14" width="8.83203125" style="5"/>
    <col min="15" max="15" width="15.1640625" style="4" bestFit="1" customWidth="1"/>
    <col min="16" max="16" width="18.83203125" style="4" bestFit="1" customWidth="1"/>
    <col min="17" max="17" width="15" style="4" bestFit="1" customWidth="1"/>
    <col min="18" max="18" width="18.5" style="4" bestFit="1" customWidth="1"/>
    <col min="19" max="16384" width="8.83203125" style="4"/>
  </cols>
  <sheetData>
    <row r="1" spans="1:20" ht="15" thickBot="1">
      <c r="A1" s="9" t="s">
        <v>3</v>
      </c>
      <c r="B1" s="9"/>
      <c r="C1" s="9"/>
      <c r="D1" s="9"/>
      <c r="E1" s="9"/>
      <c r="F1" s="9"/>
      <c r="G1" s="10"/>
      <c r="H1" s="9" t="s">
        <v>9</v>
      </c>
      <c r="I1" s="9"/>
      <c r="J1" s="9"/>
      <c r="K1" s="9"/>
      <c r="L1" s="9"/>
      <c r="M1" s="9"/>
      <c r="N1" s="10"/>
      <c r="O1" s="1"/>
      <c r="P1" s="1"/>
      <c r="Q1" s="1"/>
      <c r="R1" s="1"/>
      <c r="S1" s="1" t="s">
        <v>11</v>
      </c>
      <c r="T1" s="1" t="s">
        <v>12</v>
      </c>
    </row>
    <row r="2" spans="1:20" ht="15" thickBot="1">
      <c r="A2" s="1" t="s">
        <v>0</v>
      </c>
      <c r="B2" s="1" t="s">
        <v>1</v>
      </c>
      <c r="C2" s="1" t="s">
        <v>2</v>
      </c>
      <c r="D2" s="1" t="s">
        <v>4</v>
      </c>
      <c r="E2" s="1" t="s">
        <v>5</v>
      </c>
      <c r="F2" s="1" t="s">
        <v>6</v>
      </c>
      <c r="G2" s="2" t="s">
        <v>7</v>
      </c>
      <c r="H2" s="1" t="s">
        <v>0</v>
      </c>
      <c r="I2" s="1" t="s">
        <v>1</v>
      </c>
      <c r="J2" s="1" t="s">
        <v>2</v>
      </c>
      <c r="K2" s="1" t="s">
        <v>4</v>
      </c>
      <c r="L2" s="1" t="s">
        <v>5</v>
      </c>
      <c r="M2" s="1" t="s">
        <v>6</v>
      </c>
      <c r="N2" s="2" t="s">
        <v>7</v>
      </c>
      <c r="O2" s="3" t="s">
        <v>25</v>
      </c>
      <c r="P2" s="3" t="s">
        <v>8</v>
      </c>
      <c r="Q2" s="3" t="s">
        <v>26</v>
      </c>
      <c r="R2" s="3" t="s">
        <v>27</v>
      </c>
      <c r="S2" s="8">
        <v>70</v>
      </c>
      <c r="T2" s="8">
        <v>70</v>
      </c>
    </row>
    <row r="3" spans="1:20">
      <c r="A3" s="4">
        <v>83</v>
      </c>
      <c r="B3" s="4">
        <v>186</v>
      </c>
      <c r="C3" s="4">
        <v>83</v>
      </c>
      <c r="D3" s="4">
        <v>54</v>
      </c>
      <c r="E3" s="4">
        <v>192</v>
      </c>
      <c r="F3" s="4">
        <v>76</v>
      </c>
      <c r="G3" s="5">
        <v>192</v>
      </c>
      <c r="H3" s="4">
        <v>407</v>
      </c>
      <c r="I3" s="4">
        <v>276</v>
      </c>
      <c r="J3" s="4">
        <v>93</v>
      </c>
      <c r="K3" s="4">
        <v>414</v>
      </c>
      <c r="L3" s="4">
        <v>253</v>
      </c>
      <c r="M3" s="4">
        <v>391</v>
      </c>
      <c r="N3" s="5">
        <v>290</v>
      </c>
      <c r="O3" s="4">
        <v>120.69060368568397</v>
      </c>
      <c r="P3" s="4">
        <v>1.7099764433173306</v>
      </c>
    </row>
    <row r="4" spans="1:20">
      <c r="A4" s="4">
        <v>79</v>
      </c>
      <c r="B4" s="4">
        <v>137</v>
      </c>
      <c r="C4" s="4">
        <v>83</v>
      </c>
      <c r="D4" s="4">
        <v>52</v>
      </c>
      <c r="E4" s="4">
        <v>133</v>
      </c>
      <c r="F4" s="4">
        <v>65</v>
      </c>
      <c r="G4" s="5">
        <v>133</v>
      </c>
      <c r="H4" s="4">
        <v>409</v>
      </c>
      <c r="I4" s="4">
        <v>232</v>
      </c>
      <c r="J4" s="4">
        <v>96</v>
      </c>
      <c r="K4" s="4">
        <v>407</v>
      </c>
      <c r="L4" s="4">
        <v>220</v>
      </c>
      <c r="M4" s="4">
        <v>405</v>
      </c>
      <c r="N4" s="5">
        <v>257</v>
      </c>
      <c r="O4" s="4">
        <v>90.315271119418497</v>
      </c>
      <c r="P4" s="4">
        <v>-3.731641350590138</v>
      </c>
    </row>
    <row r="5" spans="1:20">
      <c r="A5" s="4">
        <v>55</v>
      </c>
      <c r="B5" s="4">
        <v>172</v>
      </c>
      <c r="C5" s="4">
        <v>86</v>
      </c>
      <c r="D5" s="4">
        <v>21</v>
      </c>
      <c r="E5" s="4">
        <v>165</v>
      </c>
      <c r="F5" s="4">
        <v>53</v>
      </c>
      <c r="G5" s="5">
        <v>172</v>
      </c>
      <c r="H5" s="4">
        <v>390</v>
      </c>
      <c r="I5" s="4">
        <v>278</v>
      </c>
      <c r="J5" s="4">
        <v>101</v>
      </c>
      <c r="K5" s="4">
        <v>379</v>
      </c>
      <c r="L5" s="4">
        <v>244</v>
      </c>
      <c r="M5" s="4">
        <v>372</v>
      </c>
      <c r="N5" s="5">
        <v>291</v>
      </c>
      <c r="O5" s="4">
        <v>89.116130758048698</v>
      </c>
      <c r="P5" s="4">
        <v>19.689220091477694</v>
      </c>
    </row>
    <row r="6" spans="1:20">
      <c r="A6" s="4">
        <v>100</v>
      </c>
      <c r="B6" s="4">
        <v>100</v>
      </c>
      <c r="C6" s="4">
        <v>100</v>
      </c>
      <c r="D6" s="4">
        <v>95</v>
      </c>
      <c r="E6" s="4">
        <v>100</v>
      </c>
      <c r="F6" s="4">
        <v>105</v>
      </c>
      <c r="G6" s="5">
        <v>100</v>
      </c>
      <c r="H6" s="4">
        <v>100</v>
      </c>
      <c r="I6" s="4">
        <v>100</v>
      </c>
      <c r="J6" s="4">
        <v>100</v>
      </c>
      <c r="K6" s="4">
        <v>95</v>
      </c>
      <c r="L6" s="4">
        <v>100</v>
      </c>
      <c r="M6" s="4">
        <v>105</v>
      </c>
      <c r="N6" s="5">
        <v>100</v>
      </c>
      <c r="O6" s="4">
        <v>0</v>
      </c>
      <c r="P6" s="4">
        <v>0</v>
      </c>
    </row>
    <row r="7" spans="1:20">
      <c r="A7" s="4">
        <v>100</v>
      </c>
      <c r="B7" s="4">
        <v>100</v>
      </c>
      <c r="C7" s="4">
        <v>100</v>
      </c>
      <c r="D7" s="4">
        <v>95</v>
      </c>
      <c r="E7" s="4">
        <v>100</v>
      </c>
      <c r="F7" s="4">
        <v>105</v>
      </c>
      <c r="G7" s="5">
        <v>100</v>
      </c>
      <c r="H7" s="4">
        <v>100</v>
      </c>
      <c r="I7" s="4">
        <v>100</v>
      </c>
      <c r="J7" s="4">
        <v>100</v>
      </c>
      <c r="K7" s="4">
        <v>100</v>
      </c>
      <c r="L7" s="4">
        <v>95</v>
      </c>
      <c r="M7" s="4">
        <v>100</v>
      </c>
      <c r="N7" s="5">
        <v>105</v>
      </c>
      <c r="O7" s="4">
        <v>81.97908761795027</v>
      </c>
      <c r="P7" s="4">
        <v>-11.108364055809062</v>
      </c>
    </row>
    <row r="8" spans="1:20">
      <c r="A8" s="4">
        <v>100</v>
      </c>
      <c r="B8" s="4">
        <v>100</v>
      </c>
      <c r="C8" s="4">
        <v>100</v>
      </c>
      <c r="D8" s="4">
        <v>95</v>
      </c>
      <c r="E8" s="4">
        <v>100</v>
      </c>
      <c r="F8" s="4">
        <v>105</v>
      </c>
      <c r="G8" s="5">
        <v>100</v>
      </c>
      <c r="H8" s="4">
        <v>100</v>
      </c>
      <c r="I8" s="4">
        <v>100</v>
      </c>
      <c r="J8" s="4">
        <v>100</v>
      </c>
      <c r="K8" s="4">
        <v>105</v>
      </c>
      <c r="L8" s="4">
        <v>100</v>
      </c>
      <c r="M8" s="4">
        <v>95</v>
      </c>
      <c r="N8" s="5">
        <v>100</v>
      </c>
      <c r="O8" s="4">
        <v>310.20864594243682</v>
      </c>
      <c r="P8" s="4">
        <v>0</v>
      </c>
    </row>
    <row r="9" spans="1:20">
      <c r="A9" s="4">
        <v>100</v>
      </c>
      <c r="B9" s="4">
        <v>100</v>
      </c>
      <c r="C9" s="4">
        <v>100</v>
      </c>
      <c r="D9" s="4">
        <v>95</v>
      </c>
      <c r="E9" s="4">
        <v>100</v>
      </c>
      <c r="F9" s="4">
        <v>105</v>
      </c>
      <c r="G9" s="5">
        <v>100</v>
      </c>
      <c r="H9" s="4">
        <v>100</v>
      </c>
      <c r="I9" s="4">
        <v>100</v>
      </c>
      <c r="J9" s="4">
        <v>100</v>
      </c>
      <c r="K9" s="4">
        <v>100</v>
      </c>
      <c r="L9" s="4">
        <v>105</v>
      </c>
      <c r="M9" s="4">
        <v>100</v>
      </c>
      <c r="N9" s="5">
        <v>95</v>
      </c>
      <c r="O9" s="4">
        <v>261.97908560806752</v>
      </c>
      <c r="P9" s="4">
        <v>-11.094826139402073</v>
      </c>
    </row>
    <row r="13" spans="1:20">
      <c r="A13" s="4">
        <v>696</v>
      </c>
      <c r="B13" s="4">
        <v>116</v>
      </c>
      <c r="C13" s="4">
        <v>86</v>
      </c>
      <c r="D13" s="4">
        <v>698</v>
      </c>
      <c r="E13" s="4">
        <v>113</v>
      </c>
      <c r="F13" s="4">
        <v>728</v>
      </c>
      <c r="G13" s="5">
        <v>117</v>
      </c>
      <c r="H13" s="4">
        <v>401</v>
      </c>
      <c r="I13" s="4">
        <v>104</v>
      </c>
      <c r="J13" s="4">
        <v>101</v>
      </c>
      <c r="K13" s="4">
        <v>407</v>
      </c>
      <c r="L13" s="4">
        <v>75</v>
      </c>
      <c r="M13" s="4">
        <v>407</v>
      </c>
      <c r="N13" s="5">
        <v>119</v>
      </c>
      <c r="O13" s="4">
        <v>88.893296794432999</v>
      </c>
      <c r="P13" s="4">
        <v>-10.887577307166097</v>
      </c>
      <c r="Q13" s="4">
        <v>271.10670320556699</v>
      </c>
      <c r="R13" s="4">
        <v>10.887577307166097</v>
      </c>
      <c r="S13" s="11" t="s">
        <v>23</v>
      </c>
    </row>
    <row r="14" spans="1:20">
      <c r="A14" s="4">
        <v>694</v>
      </c>
      <c r="B14" s="4">
        <v>115</v>
      </c>
      <c r="C14" s="4">
        <v>82</v>
      </c>
      <c r="D14" s="4">
        <v>699</v>
      </c>
      <c r="E14" s="4">
        <v>111</v>
      </c>
      <c r="F14" s="4">
        <v>725</v>
      </c>
      <c r="G14" s="5">
        <v>112</v>
      </c>
      <c r="H14" s="4">
        <v>401</v>
      </c>
      <c r="I14" s="4">
        <v>105</v>
      </c>
      <c r="J14" s="4">
        <v>94</v>
      </c>
      <c r="K14" s="4">
        <v>408</v>
      </c>
      <c r="L14" s="4">
        <v>74</v>
      </c>
      <c r="M14" s="4">
        <v>407</v>
      </c>
      <c r="N14" s="5">
        <v>114</v>
      </c>
      <c r="O14" s="4">
        <v>95.032673137552706</v>
      </c>
      <c r="P14" s="4">
        <v>-4.7621875824343363</v>
      </c>
      <c r="Q14" s="4">
        <v>264.96732686244729</v>
      </c>
      <c r="R14" s="4">
        <v>4.7621875824343363</v>
      </c>
      <c r="S14" s="11" t="s">
        <v>24</v>
      </c>
    </row>
    <row r="16" spans="1:20">
      <c r="H16" s="6"/>
      <c r="I16" s="6"/>
      <c r="J16" s="6"/>
      <c r="K16" s="6"/>
    </row>
    <row r="17" spans="7:15">
      <c r="H17" s="6"/>
      <c r="I17" s="6"/>
      <c r="J17" s="6"/>
      <c r="K17" s="6"/>
      <c r="O17" s="4" t="s">
        <v>10</v>
      </c>
    </row>
    <row r="18" spans="7:15">
      <c r="H18" s="6"/>
      <c r="I18" s="6"/>
      <c r="J18" s="6"/>
      <c r="K18" s="6"/>
    </row>
    <row r="20" spans="7:15">
      <c r="H20" s="6"/>
      <c r="I20" s="6"/>
      <c r="J20" s="6"/>
      <c r="K20" s="6"/>
    </row>
    <row r="24" spans="7:15" s="6" customFormat="1">
      <c r="G24" s="7"/>
      <c r="N24" s="7"/>
    </row>
    <row r="25" spans="7:15" s="6" customFormat="1">
      <c r="G25" s="7"/>
      <c r="N25" s="7"/>
    </row>
    <row r="26" spans="7:15" s="6" customFormat="1">
      <c r="G26" s="7"/>
      <c r="N26" s="7"/>
    </row>
  </sheetData>
  <dataConsolidate/>
  <mergeCells count="2">
    <mergeCell ref="A1:G1"/>
    <mergeCell ref="H1:N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S4"/>
  <sheetViews>
    <sheetView workbookViewId="0">
      <selection activeCell="K4" sqref="K4"/>
    </sheetView>
  </sheetViews>
  <sheetFormatPr baseColWidth="10" defaultRowHeight="14" x14ac:dyDescent="0"/>
  <cols>
    <col min="1" max="11" width="9" style="8" customWidth="1"/>
    <col min="12" max="12" width="9" style="14" customWidth="1"/>
    <col min="13" max="18" width="9" style="8" customWidth="1"/>
    <col min="19" max="19" width="9" style="16" customWidth="1"/>
    <col min="20" max="16384" width="10.83203125" style="8"/>
  </cols>
  <sheetData>
    <row r="1" spans="1:19" ht="15" thickBot="1">
      <c r="A1" s="12" t="s">
        <v>13</v>
      </c>
      <c r="B1" s="12"/>
      <c r="C1" s="12" t="s">
        <v>14</v>
      </c>
      <c r="D1" s="12"/>
      <c r="E1" s="12" t="s">
        <v>15</v>
      </c>
      <c r="F1" s="12"/>
      <c r="G1" s="12" t="s">
        <v>16</v>
      </c>
      <c r="H1" s="12"/>
      <c r="I1" s="12" t="s">
        <v>19</v>
      </c>
      <c r="J1" s="12"/>
      <c r="K1" s="12" t="s">
        <v>20</v>
      </c>
      <c r="L1" s="12"/>
      <c r="M1" s="12" t="s">
        <v>21</v>
      </c>
      <c r="N1" s="12"/>
      <c r="O1" s="1" t="s">
        <v>2</v>
      </c>
      <c r="P1" s="12" t="s">
        <v>19</v>
      </c>
      <c r="Q1" s="12"/>
      <c r="R1" s="12" t="s">
        <v>20</v>
      </c>
      <c r="S1" s="12"/>
    </row>
    <row r="2" spans="1:19" ht="15" thickBot="1">
      <c r="A2" s="1" t="s">
        <v>17</v>
      </c>
      <c r="B2" s="1" t="s">
        <v>18</v>
      </c>
      <c r="C2" s="1" t="s">
        <v>17</v>
      </c>
      <c r="D2" s="1" t="s">
        <v>18</v>
      </c>
      <c r="E2" s="1" t="s">
        <v>17</v>
      </c>
      <c r="F2" s="1" t="s">
        <v>18</v>
      </c>
      <c r="G2" s="1" t="s">
        <v>17</v>
      </c>
      <c r="H2" s="1" t="s">
        <v>18</v>
      </c>
      <c r="I2" s="1" t="s">
        <v>17</v>
      </c>
      <c r="J2" s="1" t="s">
        <v>18</v>
      </c>
      <c r="K2" s="1" t="s">
        <v>17</v>
      </c>
      <c r="L2" s="13" t="s">
        <v>18</v>
      </c>
      <c r="M2" s="1" t="s">
        <v>17</v>
      </c>
      <c r="N2" s="1" t="s">
        <v>18</v>
      </c>
      <c r="O2" s="1" t="s">
        <v>22</v>
      </c>
      <c r="P2" s="1" t="s">
        <v>17</v>
      </c>
      <c r="Q2" s="1" t="s">
        <v>18</v>
      </c>
      <c r="R2" s="1" t="s">
        <v>17</v>
      </c>
      <c r="S2" s="15" t="s">
        <v>18</v>
      </c>
    </row>
    <row r="3" spans="1:19">
      <c r="A3" s="8">
        <v>401</v>
      </c>
      <c r="B3" s="8">
        <v>326</v>
      </c>
      <c r="C3" s="8">
        <v>401</v>
      </c>
      <c r="D3" s="8">
        <v>427</v>
      </c>
      <c r="E3" s="8">
        <v>351</v>
      </c>
      <c r="F3" s="8">
        <v>377</v>
      </c>
      <c r="G3" s="8">
        <v>351</v>
      </c>
      <c r="H3" s="8">
        <v>377</v>
      </c>
      <c r="I3" s="8">
        <v>407</v>
      </c>
      <c r="J3" s="8">
        <v>406</v>
      </c>
      <c r="K3" s="8">
        <v>407</v>
      </c>
      <c r="L3" s="14">
        <v>362</v>
      </c>
      <c r="M3" s="8">
        <f>AVERAGE(A3,C3)</f>
        <v>401</v>
      </c>
      <c r="N3" s="8">
        <f>481-AVERAGE(F3,H3)</f>
        <v>104</v>
      </c>
      <c r="O3" s="8">
        <f>MAX(ABS(B3-D3),ABS(E3-G3))</f>
        <v>101</v>
      </c>
      <c r="P3" s="8">
        <f>I3</f>
        <v>407</v>
      </c>
      <c r="Q3" s="8">
        <f>481-J3</f>
        <v>75</v>
      </c>
      <c r="R3" s="8">
        <f t="shared" ref="Q3:S3" si="0">K3</f>
        <v>407</v>
      </c>
      <c r="S3" s="16">
        <f>481-L3</f>
        <v>119</v>
      </c>
    </row>
    <row r="4" spans="1:19">
      <c r="A4" s="8">
        <v>696</v>
      </c>
      <c r="B4" s="8">
        <v>322</v>
      </c>
      <c r="C4" s="8">
        <v>696</v>
      </c>
      <c r="D4" s="8">
        <v>408</v>
      </c>
      <c r="E4" s="8">
        <v>658</v>
      </c>
      <c r="F4" s="8">
        <v>365</v>
      </c>
      <c r="G4" s="8">
        <v>735</v>
      </c>
      <c r="H4" s="8">
        <v>365</v>
      </c>
      <c r="I4" s="8">
        <v>698</v>
      </c>
      <c r="J4" s="8">
        <v>368</v>
      </c>
      <c r="K4" s="8">
        <v>728</v>
      </c>
      <c r="L4" s="14">
        <v>364</v>
      </c>
      <c r="M4" s="8">
        <f>AVERAGE(A4,C4)</f>
        <v>696</v>
      </c>
      <c r="N4" s="8">
        <f>481-AVERAGE(F4,H4)</f>
        <v>116</v>
      </c>
      <c r="O4" s="8">
        <f>MAX(ABS(B4-D4),ABS(E4-G4))</f>
        <v>86</v>
      </c>
      <c r="P4" s="8">
        <f>I4</f>
        <v>698</v>
      </c>
      <c r="Q4" s="8">
        <f>481-J4</f>
        <v>113</v>
      </c>
      <c r="R4" s="8">
        <f t="shared" ref="R4" si="1">K4</f>
        <v>728</v>
      </c>
      <c r="S4" s="16">
        <f>481-L4</f>
        <v>117</v>
      </c>
    </row>
  </sheetData>
  <mergeCells count="9">
    <mergeCell ref="M1:N1"/>
    <mergeCell ref="P1:Q1"/>
    <mergeCell ref="R1:S1"/>
    <mergeCell ref="A1:B1"/>
    <mergeCell ref="C1:D1"/>
    <mergeCell ref="E1:F1"/>
    <mergeCell ref="G1:H1"/>
    <mergeCell ref="I1:J1"/>
    <mergeCell ref="K1:L1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Calcs</vt:lpstr>
      <vt:lpstr>ByHandCalculator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Stay</dc:creator>
  <cp:lastModifiedBy>Justin Stay</cp:lastModifiedBy>
  <dcterms:created xsi:type="dcterms:W3CDTF">2016-03-18T20:33:47Z</dcterms:created>
  <dcterms:modified xsi:type="dcterms:W3CDTF">2016-05-12T11:01:32Z</dcterms:modified>
</cp:coreProperties>
</file>